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PhongVu\Desktop\TH3\"/>
    </mc:Choice>
  </mc:AlternateContent>
  <bookViews>
    <workbookView xWindow="0" yWindow="0" windowWidth="23040" windowHeight="9384" tabRatio="694" activeTab="2"/>
  </bookViews>
  <sheets>
    <sheet name="Test summary report" sheetId="2" r:id="rId1"/>
    <sheet name="Login Form" sheetId="8" r:id="rId2"/>
    <sheet name="Register Form" sheetId="10" r:id="rId3"/>
  </sheets>
  <definedNames>
    <definedName name="_xlnm._FilterDatabase" localSheetId="1" hidden="1">'Login Form'!$A$8:$G$9</definedName>
    <definedName name="_xlnm._FilterDatabase" localSheetId="2" hidden="1">'Register Form'!$A$8:$G$9</definedName>
    <definedName name="ACTION" localSheetId="2">#REF!</definedName>
    <definedName name="ACTION">#REF!</definedName>
    <definedName name="_xlnm.Print_Area" localSheetId="1">'Login Form'!$A$2:$G$17</definedName>
    <definedName name="_xlnm.Print_Area" localSheetId="2">'Register Form'!$A$2:$G$20</definedName>
    <definedName name="_xlnm.Print_Area" localSheetId="0">'Test summary report'!$A$1:$G$9</definedName>
  </definedNames>
  <calcPr calcId="152511"/>
</workbook>
</file>

<file path=xl/calcChain.xml><?xml version="1.0" encoding="utf-8"?>
<calcChain xmlns="http://schemas.openxmlformats.org/spreadsheetml/2006/main">
  <c r="F8" i="2" l="1"/>
  <c r="D8" i="2"/>
  <c r="B2" i="10"/>
  <c r="E6" i="10"/>
  <c r="D6" i="10"/>
  <c r="F9" i="2" s="1"/>
  <c r="C6" i="10"/>
  <c r="E9" i="2" s="1"/>
  <c r="B6" i="10"/>
  <c r="D9" i="2" s="1"/>
  <c r="E6" i="8"/>
  <c r="D6" i="8"/>
  <c r="C6" i="8"/>
  <c r="E8" i="2" s="1"/>
  <c r="B6" i="8"/>
  <c r="G9" i="2" l="1"/>
  <c r="G8" i="2"/>
  <c r="B3" i="8"/>
  <c r="B2" i="8" l="1"/>
  <c r="A17" i="8"/>
</calcChain>
</file>

<file path=xl/sharedStrings.xml><?xml version="1.0" encoding="utf-8"?>
<sst xmlns="http://schemas.openxmlformats.org/spreadsheetml/2006/main" count="144" uniqueCount="85">
  <si>
    <t>Project Name</t>
  </si>
  <si>
    <t>No</t>
  </si>
  <si>
    <t>Function Name</t>
  </si>
  <si>
    <t>Sheet Name</t>
  </si>
  <si>
    <t>Pass</t>
  </si>
  <si>
    <t>Fail</t>
  </si>
  <si>
    <t>Tester</t>
  </si>
  <si>
    <t>Untested</t>
  </si>
  <si>
    <t>TEST SUMMARY REPORT</t>
  </si>
  <si>
    <t>Date</t>
  </si>
  <si>
    <t>Number of test cases</t>
  </si>
  <si>
    <t>Function Test</t>
  </si>
  <si>
    <t>Đăng nhập với tên đăng nhập đúng, mật khẩu sai</t>
  </si>
  <si>
    <t>Đăng nhập với tên đăng nhập và mật khẩu đúng</t>
  </si>
  <si>
    <t>Login Form</t>
  </si>
  <si>
    <t>Register Form</t>
  </si>
  <si>
    <t>Website Bán sách</t>
  </si>
  <si>
    <t>Đăng nhập với tên đăng nhập  rỗng.</t>
  </si>
  <si>
    <t>1. Vào trang đăng nhập  
2. Nhập mật khẩu đúng, tên đăng nhập rỗng                                            3. Click nút Đăng nhập</t>
  </si>
  <si>
    <t>1. Vào trang đăng nhập
2. Nhập tên đăng nhập đúng, mật khẩu rỗng
3. Click nút Đăng nhập</t>
  </si>
  <si>
    <t>1. Vào trang đăng nhập
2. Nhập tên đăng nhập sai, mật khẩu đúng
3. Click nút Đăng nhập</t>
  </si>
  <si>
    <t>1. Vào trang đăng nhập
2. Nhập tên đăng nhập đúng, mật khẩu sai
3. Click nút Đăng nhập</t>
  </si>
  <si>
    <t>Đăng nhập với tên đăng nhập sai, mật khẩu đúng</t>
  </si>
  <si>
    <t>Test Case ID</t>
  </si>
  <si>
    <t>Test Scenario</t>
  </si>
  <si>
    <t>Test Steps</t>
  </si>
  <si>
    <t>Đăng nhập với mật khẩu rỗng</t>
  </si>
  <si>
    <t>Test Data</t>
  </si>
  <si>
    <t>Expected Results</t>
  </si>
  <si>
    <t>Actual Results</t>
  </si>
  <si>
    <t>Results</t>
  </si>
  <si>
    <t>TC_01</t>
  </si>
  <si>
    <t>TC_02</t>
  </si>
  <si>
    <t>TC_03</t>
  </si>
  <si>
    <t>TC_04</t>
  </si>
  <si>
    <t>TC_05</t>
  </si>
  <si>
    <t>Tên DN: 
Mật khẩu: 12345</t>
  </si>
  <si>
    <t xml:space="preserve">Tên DN: luongvq
Mật khẩu: </t>
  </si>
  <si>
    <t>Tên DN: luong
Mật khẩu: 12345</t>
  </si>
  <si>
    <t>Tên DN: luongvq
Mật khẩu: 123</t>
  </si>
  <si>
    <t>Tên DN: luongvq
Mật khẩu: 12345</t>
  </si>
  <si>
    <t>Hiện thông báo "Tên đăng nhập không rỗng"</t>
  </si>
  <si>
    <t>Hiện thông báo "Mật khẩu không rỗng"</t>
  </si>
  <si>
    <t>Hiện thông báo "Tên đăng nhập hoặc mật khẩu không đúng"</t>
  </si>
  <si>
    <t>Quay trở lại trang chủ và hiện tên đăng nhập tại mục đăng nhập.</t>
  </si>
  <si>
    <t>As Expected</t>
  </si>
  <si>
    <t>Lê Duy Minh</t>
  </si>
  <si>
    <t>Đăng ký với mail rỗng</t>
  </si>
  <si>
    <t>Đăng ký với tên đăng nhập rỗng</t>
  </si>
  <si>
    <t>1.Vào trang đăng ký : http://ani4u.org/dang-ky
2. Không nhập tên đăng nhập, điền đầy đủ thông tin còn lại
3.Nhấn đăng ký</t>
  </si>
  <si>
    <t>1.Vào trang đăng ký : http://ani4u.org/dang-ky
2. Không nhập mail, điền đầy đủ thông tin còn lại
3.Nhấn đăng ký</t>
  </si>
  <si>
    <t>Đăng ký với mật khẩu rỗng</t>
  </si>
  <si>
    <t>1.Vào trang đăng ký : http://ani4u.org/dang-ky
2. Không nhập mật khẩu, điền đầy đủ thông tin còn lại
3.Nhấn đăng ký</t>
  </si>
  <si>
    <t>Đăng ký với Nhập lại mật khẩu rỗng</t>
  </si>
  <si>
    <t>1.Vào trang đăng ký : http://ani4u.org/dang-ky
2. Không nhập Nhập lại mật khẩu, điền đầy đủ thông tin còn lại
3.Nhấn đăng ký</t>
  </si>
  <si>
    <t>Đăng ký với Nhập lại mật khẩu không trùng với mật khẩu</t>
  </si>
  <si>
    <t>1.Vào trang đăng ký : http://ani4u.org/dang-ky
2. Nhập lai mật khẩu không nhập đùng với mật khẩu, điền đầy đủ thông tin còn lại
3.Nhấn đăng ký</t>
  </si>
  <si>
    <t>Hiện thông báo "Bạn chưa nhập tên đăng nhập"</t>
  </si>
  <si>
    <t xml:space="preserve">Tên DN: 
Mail: duyminh1096@gmail.com
Mk: 123321
Nhập lại Mk : 123321
</t>
  </si>
  <si>
    <t>Tên DN: duyminh689
Mail: 
Mk: 123321
Nhập lại Mk : 123321</t>
  </si>
  <si>
    <t>Tên DN: duyminh689
Mail: duyminh1096@gmail.com
Mk: 
Nhập lại Mk : 123321</t>
  </si>
  <si>
    <t xml:space="preserve">Tên DN: duyminh689
Mail: duyminh1096@gmail.com
Mk: 123321
Nhập lại Mk : </t>
  </si>
  <si>
    <t>Tên DN: duyminh689
Mail: duyminh1096@gmail.com
Mk: 123321
Nhập lại Mk : 123123</t>
  </si>
  <si>
    <t>Hiện thông báo "Bạn chưa nhập mail"</t>
  </si>
  <si>
    <t>Hiện thông báo "Bạn chưa nhập Nhập lại mật khẩu"</t>
  </si>
  <si>
    <t>TC_06</t>
  </si>
  <si>
    <t>Đăng ký với tên đăng nhập chưa ký tự đặc biệt (@#$%^&amp;*!~)</t>
  </si>
  <si>
    <t>1.Vào trang đăng ký : http://ani4u.org/dang-ky
2. Nhập đầy đủ thông tin với tài khoản chứa ký tự đặc biệt.
3.Nhấn đăng ký</t>
  </si>
  <si>
    <t>Tên DN: #duyminh689@
Mail: duyminh1096@gmail.com
Mk: 123321
Nhập lại Mk : 123123</t>
  </si>
  <si>
    <t>TC_07</t>
  </si>
  <si>
    <t>Đăng ký với tên tài khoản đã tồn tại</t>
  </si>
  <si>
    <t>1.Vào trang đăng ký : http://ani4u.org/dang-ky
2. Nhập đầy đủ thông tin
3.Nhấn đăng ký</t>
  </si>
  <si>
    <t>TC_08</t>
  </si>
  <si>
    <t>Đăng ký với mail đã tồn tại</t>
  </si>
  <si>
    <t>TC_09</t>
  </si>
  <si>
    <t>Đăng ký thông tin đúng định dạng</t>
  </si>
  <si>
    <t>Tên DN: duyminh689
Mail: duyminh1096@gmail.com
Mk: 123321
Nhập lại Mk : 123321</t>
  </si>
  <si>
    <t>Tên DN: duyminh689
Mail: duyminh141096@gmail.com
Mk: 123321
Nhập lại Mk : 123321</t>
  </si>
  <si>
    <t>Hiện thông báo "Vui lòng không bỏ trống những thông tin bắt buộc!"</t>
  </si>
  <si>
    <t>Hiện thông báo "Bạn chưa nhập Mật khẩu"</t>
  </si>
  <si>
    <t>Hiện thông báo "Mật khẩu không giống nhau. Vui lòng nhập lại!"</t>
  </si>
  <si>
    <t>Hiện thông báo "Tên đăng nhập không chứa ký tự đặc biệt"</t>
  </si>
  <si>
    <t>Hiện thông báo "Chúc mừng bạn đã đăng ký thành công. Vui lòng ĐĂNG NHẬP vào Ani4u.Org!."</t>
  </si>
  <si>
    <t>Hiện thông báo "Tên đăng nhập đã được đăng ký. Vui lòng nhập tên khác.i"</t>
  </si>
  <si>
    <t>Hiện thông báo "Địa chỉ Email đã tồn tại!."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</si>
</sst>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name val="ＭＳ Ｐゴシック"/>
      <charset val="128"/>
    </font>
    <font>
      <sz val="10"/>
      <name val="Arial"/>
      <family val="2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10"/>
      <color indexed="60"/>
      <name val="Tahoma"/>
      <family val="2"/>
    </font>
    <font>
      <b/>
      <sz val="10"/>
      <color indexed="9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8"/>
      <name val="Tahoma"/>
      <family val="2"/>
    </font>
    <font>
      <sz val="10"/>
      <name val="Arial"/>
      <family val="2"/>
      <charset val="163"/>
    </font>
    <font>
      <sz val="10"/>
      <color indexed="8"/>
      <name val="Arial"/>
      <family val="2"/>
      <charset val="163"/>
    </font>
    <font>
      <sz val="10"/>
      <color indexed="8"/>
      <name val="Arial"/>
      <family val="2"/>
    </font>
    <font>
      <sz val="11"/>
      <name val="ＭＳ Ｐゴシック"/>
      <charset val="128"/>
    </font>
    <font>
      <b/>
      <sz val="10"/>
      <color rgb="FFFF0000"/>
      <name val="Tahoma"/>
      <family val="2"/>
    </font>
    <font>
      <u/>
      <sz val="11"/>
      <color indexed="12"/>
      <name val="Arial"/>
      <family val="2"/>
      <charset val="163"/>
    </font>
    <font>
      <sz val="10"/>
      <color indexed="12"/>
      <name val="Arial"/>
      <family val="2"/>
      <charset val="163"/>
    </font>
    <font>
      <b/>
      <sz val="10"/>
      <color rgb="FF0000FF"/>
      <name val="Tahoma"/>
      <family val="2"/>
      <charset val="163"/>
    </font>
    <font>
      <b/>
      <sz val="10"/>
      <color rgb="FF0000FF"/>
      <name val="Tahoma"/>
      <family val="2"/>
    </font>
    <font>
      <b/>
      <sz val="13"/>
      <color rgb="FF0000FF"/>
      <name val="Tahoma"/>
      <family val="2"/>
    </font>
    <font>
      <b/>
      <sz val="10"/>
      <color rgb="FFFF0000"/>
      <name val="Tahoma"/>
      <family val="2"/>
      <charset val="163"/>
    </font>
    <font>
      <b/>
      <sz val="20"/>
      <color rgb="FFC00000"/>
      <name val="Tahoma"/>
      <family val="2"/>
    </font>
    <font>
      <b/>
      <sz val="10"/>
      <color indexed="9"/>
      <name val="Arial"/>
      <family val="2"/>
      <charset val="163"/>
    </font>
    <font>
      <u/>
      <sz val="11"/>
      <color indexed="12"/>
      <name val="Arial"/>
      <family val="2"/>
    </font>
    <font>
      <b/>
      <sz val="11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25973B"/>
        <bgColor indexed="56"/>
      </patternFill>
    </fill>
    <fill>
      <patternFill patternType="solid">
        <fgColor rgb="FF25973B"/>
        <bgColor indexed="32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/>
    <xf numFmtId="0" fontId="13" fillId="0" borderId="0"/>
    <xf numFmtId="0" fontId="13" fillId="3" borderId="17" applyNumberFormat="0" applyFont="0" applyAlignment="0" applyProtection="0"/>
    <xf numFmtId="0" fontId="2" fillId="0" borderId="0"/>
  </cellStyleXfs>
  <cellXfs count="76">
    <xf numFmtId="0" fontId="0" fillId="0" borderId="0" xfId="0"/>
    <xf numFmtId="0" fontId="3" fillId="2" borderId="0" xfId="0" applyFont="1" applyFill="1"/>
    <xf numFmtId="1" fontId="3" fillId="2" borderId="0" xfId="0" applyNumberFormat="1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wrapText="1"/>
    </xf>
    <xf numFmtId="0" fontId="3" fillId="2" borderId="0" xfId="0" applyFont="1" applyFill="1" applyBorder="1" applyAlignment="1"/>
    <xf numFmtId="0" fontId="7" fillId="2" borderId="0" xfId="0" applyFont="1" applyFill="1" applyAlignment="1">
      <alignment horizontal="center"/>
    </xf>
    <xf numFmtId="0" fontId="9" fillId="2" borderId="0" xfId="0" applyFont="1" applyFill="1" applyAlignment="1"/>
    <xf numFmtId="0" fontId="9" fillId="2" borderId="0" xfId="0" applyFont="1" applyFill="1" applyBorder="1" applyAlignment="1">
      <alignment horizontal="center" wrapText="1"/>
    </xf>
    <xf numFmtId="0" fontId="3" fillId="2" borderId="3" xfId="2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left" vertical="top" wrapText="1"/>
    </xf>
    <xf numFmtId="0" fontId="1" fillId="2" borderId="3" xfId="2" applyFont="1" applyFill="1" applyBorder="1" applyAlignment="1">
      <alignment vertical="top"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Border="1" applyAlignment="1">
      <alignment wrapText="1"/>
    </xf>
    <xf numFmtId="0" fontId="14" fillId="2" borderId="3" xfId="2" applyNumberFormat="1" applyFont="1" applyFill="1" applyBorder="1" applyAlignment="1">
      <alignment horizontal="center" vertical="center" wrapText="1"/>
    </xf>
    <xf numFmtId="0" fontId="1" fillId="4" borderId="3" xfId="3" applyFont="1" applyFill="1" applyBorder="1" applyAlignment="1">
      <alignment vertical="top" wrapText="1"/>
    </xf>
    <xf numFmtId="0" fontId="1" fillId="4" borderId="3" xfId="3" applyFont="1" applyFill="1" applyBorder="1" applyAlignment="1">
      <alignment horizontal="left" vertical="center" wrapText="1"/>
    </xf>
    <xf numFmtId="0" fontId="12" fillId="4" borderId="3" xfId="3" applyFont="1" applyFill="1" applyBorder="1" applyAlignment="1">
      <alignment horizontal="left" vertical="center" wrapText="1"/>
    </xf>
    <xf numFmtId="0" fontId="14" fillId="4" borderId="3" xfId="3" applyNumberFormat="1" applyFont="1" applyFill="1" applyBorder="1" applyAlignment="1">
      <alignment horizontal="center" vertical="center" wrapText="1"/>
    </xf>
    <xf numFmtId="0" fontId="3" fillId="4" borderId="3" xfId="3" applyFont="1" applyFill="1" applyBorder="1"/>
    <xf numFmtId="0" fontId="10" fillId="4" borderId="3" xfId="3" applyFont="1" applyFill="1" applyBorder="1" applyAlignment="1">
      <alignment vertical="center" wrapText="1"/>
    </xf>
    <xf numFmtId="0" fontId="10" fillId="4" borderId="3" xfId="3" applyFont="1" applyFill="1" applyBorder="1" applyAlignment="1">
      <alignment horizontal="left" vertical="center" wrapText="1"/>
    </xf>
    <xf numFmtId="0" fontId="11" fillId="4" borderId="3" xfId="3" applyFont="1" applyFill="1" applyBorder="1" applyAlignment="1">
      <alignment horizontal="left" vertical="center" wrapText="1"/>
    </xf>
    <xf numFmtId="0" fontId="14" fillId="4" borderId="3" xfId="3" applyFont="1" applyFill="1" applyBorder="1" applyAlignment="1">
      <alignment horizontal="center" vertical="center"/>
    </xf>
    <xf numFmtId="1" fontId="3" fillId="2" borderId="9" xfId="0" applyNumberFormat="1" applyFont="1" applyFill="1" applyBorder="1" applyProtection="1">
      <protection hidden="1"/>
    </xf>
    <xf numFmtId="0" fontId="3" fillId="2" borderId="0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1" fontId="4" fillId="2" borderId="9" xfId="0" applyNumberFormat="1" applyFont="1" applyFill="1" applyBorder="1" applyAlignment="1"/>
    <xf numFmtId="0" fontId="3" fillId="2" borderId="10" xfId="0" applyFont="1" applyFill="1" applyBorder="1" applyAlignment="1"/>
    <xf numFmtId="1" fontId="10" fillId="2" borderId="13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left" vertical="center" wrapText="1"/>
    </xf>
    <xf numFmtId="0" fontId="15" fillId="0" borderId="0" xfId="1" applyFont="1" applyBorder="1"/>
    <xf numFmtId="1" fontId="10" fillId="2" borderId="16" xfId="0" applyNumberFormat="1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left" vertical="center" wrapText="1"/>
    </xf>
    <xf numFmtId="0" fontId="3" fillId="4" borderId="3" xfId="3" applyFont="1" applyFill="1" applyBorder="1" applyAlignment="1">
      <alignment vertical="top" wrapText="1"/>
    </xf>
    <xf numFmtId="0" fontId="7" fillId="2" borderId="19" xfId="2" applyFont="1" applyFill="1" applyBorder="1" applyAlignment="1">
      <alignment horizontal="left" vertical="center" wrapText="1"/>
    </xf>
    <xf numFmtId="0" fontId="7" fillId="2" borderId="20" xfId="2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center" vertical="center"/>
    </xf>
    <xf numFmtId="0" fontId="16" fillId="2" borderId="2" xfId="1" applyNumberFormat="1" applyFont="1" applyFill="1" applyBorder="1" applyAlignment="1" applyProtection="1">
      <alignment horizontal="center" vertical="center"/>
    </xf>
    <xf numFmtId="1" fontId="22" fillId="5" borderId="14" xfId="0" applyNumberFormat="1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/>
    </xf>
    <xf numFmtId="0" fontId="22" fillId="5" borderId="18" xfId="0" applyFont="1" applyFill="1" applyBorder="1" applyAlignment="1">
      <alignment horizontal="center" vertical="center"/>
    </xf>
    <xf numFmtId="0" fontId="22" fillId="5" borderId="15" xfId="0" applyFont="1" applyFill="1" applyBorder="1" applyAlignment="1">
      <alignment horizontal="center" vertical="center"/>
    </xf>
    <xf numFmtId="0" fontId="5" fillId="6" borderId="3" xfId="2" applyFont="1" applyFill="1" applyBorder="1" applyAlignment="1">
      <alignment horizontal="center" vertical="center" wrapText="1"/>
    </xf>
    <xf numFmtId="0" fontId="23" fillId="0" borderId="3" xfId="1" applyFont="1" applyBorder="1"/>
    <xf numFmtId="0" fontId="14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/>
    <xf numFmtId="0" fontId="17" fillId="2" borderId="0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 wrapText="1"/>
    </xf>
    <xf numFmtId="0" fontId="16" fillId="2" borderId="22" xfId="1" applyNumberFormat="1" applyFont="1" applyFill="1" applyBorder="1" applyAlignment="1" applyProtection="1">
      <alignment horizontal="center" vertical="center"/>
    </xf>
    <xf numFmtId="0" fontId="16" fillId="2" borderId="23" xfId="1" applyNumberFormat="1" applyFont="1" applyFill="1" applyBorder="1" applyAlignment="1" applyProtection="1">
      <alignment horizontal="center" vertical="center"/>
    </xf>
    <xf numFmtId="0" fontId="21" fillId="2" borderId="6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center"/>
    </xf>
    <xf numFmtId="1" fontId="7" fillId="2" borderId="13" xfId="0" applyNumberFormat="1" applyFont="1" applyFill="1" applyBorder="1" applyAlignment="1">
      <alignment vertical="center" wrapText="1"/>
    </xf>
    <xf numFmtId="1" fontId="7" fillId="2" borderId="2" xfId="0" applyNumberFormat="1" applyFont="1" applyFill="1" applyBorder="1" applyAlignment="1">
      <alignment vertical="center" wrapText="1"/>
    </xf>
    <xf numFmtId="14" fontId="17" fillId="2" borderId="2" xfId="0" applyNumberFormat="1" applyFont="1" applyFill="1" applyBorder="1" applyAlignment="1">
      <alignment horizontal="left" vertical="top" wrapText="1"/>
    </xf>
    <xf numFmtId="0" fontId="17" fillId="2" borderId="2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left" vertical="top" wrapText="1"/>
    </xf>
    <xf numFmtId="0" fontId="17" fillId="2" borderId="12" xfId="0" applyFont="1" applyFill="1" applyBorder="1" applyAlignment="1">
      <alignment horizontal="left" vertical="top" wrapText="1"/>
    </xf>
    <xf numFmtId="1" fontId="7" fillId="2" borderId="11" xfId="0" applyNumberFormat="1" applyFont="1" applyFill="1" applyBorder="1" applyAlignment="1"/>
    <xf numFmtId="1" fontId="7" fillId="2" borderId="1" xfId="0" applyNumberFormat="1" applyFont="1" applyFill="1" applyBorder="1" applyAlignment="1"/>
    <xf numFmtId="0" fontId="17" fillId="2" borderId="2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17" fillId="2" borderId="12" xfId="0" applyFont="1" applyFill="1" applyBorder="1" applyAlignment="1">
      <alignment horizontal="left"/>
    </xf>
    <xf numFmtId="0" fontId="19" fillId="2" borderId="3" xfId="2" applyFont="1" applyFill="1" applyBorder="1" applyAlignment="1">
      <alignment horizontal="left" vertical="center"/>
    </xf>
    <xf numFmtId="0" fontId="18" fillId="2" borderId="3" xfId="2" applyFont="1" applyFill="1" applyBorder="1" applyAlignment="1">
      <alignment horizontal="left" wrapText="1"/>
    </xf>
    <xf numFmtId="14" fontId="18" fillId="2" borderId="3" xfId="2" applyNumberFormat="1" applyFont="1" applyFill="1" applyBorder="1" applyAlignment="1">
      <alignment horizontal="left" wrapText="1"/>
    </xf>
    <xf numFmtId="49" fontId="19" fillId="2" borderId="3" xfId="2" applyNumberFormat="1" applyFont="1" applyFill="1" applyBorder="1" applyAlignment="1">
      <alignment horizontal="left" vertical="center"/>
    </xf>
    <xf numFmtId="0" fontId="24" fillId="4" borderId="3" xfId="3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_Sheet1" xfId="2"/>
    <cellStyle name="Note" xfId="3" builtinId="10"/>
    <cellStyle name="標準_結合試験(AllOvertheWorld)" xfId="4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25973B"/>
      <color rgb="FF2084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view="pageBreakPreview" zoomScaleNormal="100" zoomScaleSheetLayoutView="100" workbookViewId="0">
      <selection activeCell="C14" sqref="C14"/>
    </sheetView>
  </sheetViews>
  <sheetFormatPr defaultColWidth="9" defaultRowHeight="13.2"/>
  <cols>
    <col min="1" max="1" width="3.21875" style="2" bestFit="1" customWidth="1"/>
    <col min="2" max="2" width="26.77734375" style="12" customWidth="1"/>
    <col min="3" max="3" width="32.21875" style="3" bestFit="1" customWidth="1"/>
    <col min="4" max="4" width="13.88671875" style="3" customWidth="1"/>
    <col min="5" max="6" width="8.44140625" style="3" customWidth="1"/>
    <col min="7" max="7" width="20" style="3" customWidth="1"/>
    <col min="8" max="16384" width="9" style="1"/>
  </cols>
  <sheetData>
    <row r="1" spans="1:7" ht="24.6">
      <c r="A1" s="57" t="s">
        <v>8</v>
      </c>
      <c r="B1" s="58"/>
      <c r="C1" s="58"/>
      <c r="D1" s="58"/>
      <c r="E1" s="58"/>
      <c r="F1" s="58"/>
      <c r="G1" s="59"/>
    </row>
    <row r="2" spans="1:7" ht="13.5" customHeight="1">
      <c r="A2" s="24"/>
      <c r="B2" s="25"/>
      <c r="C2" s="26"/>
      <c r="D2" s="26"/>
      <c r="E2" s="26"/>
      <c r="F2" s="26"/>
      <c r="G2" s="27"/>
    </row>
    <row r="3" spans="1:7">
      <c r="A3" s="66" t="s">
        <v>0</v>
      </c>
      <c r="B3" s="67"/>
      <c r="C3" s="68" t="s">
        <v>16</v>
      </c>
      <c r="D3" s="68"/>
      <c r="E3" s="69"/>
      <c r="F3" s="69"/>
      <c r="G3" s="70"/>
    </row>
    <row r="4" spans="1:7">
      <c r="A4" s="66" t="s">
        <v>6</v>
      </c>
      <c r="B4" s="67"/>
      <c r="C4" s="68" t="s">
        <v>46</v>
      </c>
      <c r="D4" s="68"/>
      <c r="E4" s="69"/>
      <c r="F4" s="69"/>
      <c r="G4" s="70"/>
    </row>
    <row r="5" spans="1:7" s="4" customFormat="1">
      <c r="A5" s="60" t="s">
        <v>9</v>
      </c>
      <c r="B5" s="61"/>
      <c r="C5" s="62">
        <v>43402</v>
      </c>
      <c r="D5" s="63"/>
      <c r="E5" s="64"/>
      <c r="F5" s="64"/>
      <c r="G5" s="65"/>
    </row>
    <row r="6" spans="1:7" ht="13.8" thickBot="1">
      <c r="A6" s="28"/>
      <c r="B6" s="13"/>
      <c r="C6" s="5"/>
      <c r="D6" s="5"/>
      <c r="E6" s="5"/>
      <c r="F6" s="5"/>
      <c r="G6" s="29"/>
    </row>
    <row r="7" spans="1:7" s="6" customFormat="1" ht="21" customHeight="1" thickTop="1">
      <c r="A7" s="43" t="s">
        <v>1</v>
      </c>
      <c r="B7" s="44" t="s">
        <v>2</v>
      </c>
      <c r="C7" s="45" t="s">
        <v>3</v>
      </c>
      <c r="D7" s="45" t="s">
        <v>4</v>
      </c>
      <c r="E7" s="46" t="s">
        <v>5</v>
      </c>
      <c r="F7" s="47" t="s">
        <v>7</v>
      </c>
      <c r="G7" s="47" t="s">
        <v>10</v>
      </c>
    </row>
    <row r="8" spans="1:7" ht="19.5" customHeight="1">
      <c r="A8" s="30">
        <v>1</v>
      </c>
      <c r="B8" s="31" t="s">
        <v>14</v>
      </c>
      <c r="C8" s="32" t="s">
        <v>14</v>
      </c>
      <c r="D8" s="42">
        <f>'Login Form'!B6</f>
        <v>5</v>
      </c>
      <c r="E8" s="42">
        <f>'Login Form'!C6</f>
        <v>0</v>
      </c>
      <c r="F8" s="42">
        <f>'Login Form'!D6</f>
        <v>0</v>
      </c>
      <c r="G8" s="42">
        <f>SUM(D8:F8)</f>
        <v>5</v>
      </c>
    </row>
    <row r="9" spans="1:7" ht="19.5" customHeight="1">
      <c r="A9" s="33">
        <v>2</v>
      </c>
      <c r="B9" s="34" t="s">
        <v>15</v>
      </c>
      <c r="C9" s="49" t="s">
        <v>15</v>
      </c>
      <c r="D9" s="55">
        <f>'Register Form'!B6</f>
        <v>4</v>
      </c>
      <c r="E9" s="56">
        <f>'Register Form'!C6</f>
        <v>5</v>
      </c>
      <c r="F9" s="56">
        <f>'Register Form'!D6</f>
        <v>0</v>
      </c>
      <c r="G9" s="42">
        <f>SUM(D9:F9)</f>
        <v>9</v>
      </c>
    </row>
  </sheetData>
  <mergeCells count="7">
    <mergeCell ref="A1:G1"/>
    <mergeCell ref="A5:B5"/>
    <mergeCell ref="C5:G5"/>
    <mergeCell ref="A3:B3"/>
    <mergeCell ref="C3:G3"/>
    <mergeCell ref="A4:B4"/>
    <mergeCell ref="C4:G4"/>
  </mergeCells>
  <phoneticPr fontId="0" type="noConversion"/>
  <hyperlinks>
    <hyperlink ref="C9" location="'Register Facebook'!A1" display="Register Facebook"/>
    <hyperlink ref="C8" location="'Login Facebook'!A1" display="Login Facebook"/>
  </hyperlinks>
  <printOptions horizontalCentered="1"/>
  <pageMargins left="0.74791666666666701" right="0.74791666666666701" top="0.98402777777777795" bottom="1.15069444444444" header="0.51180555555555596" footer="0.98402777777777795"/>
  <pageSetup paperSize="9" firstPageNumber="0" orientation="landscape" horizontalDpi="300" verticalDpi="300" r:id="rId1"/>
  <headerFooter alignWithMargins="0">
    <oddFooter>&amp;C&amp;"Tahoma,Regular"&amp;8www.testingvn.com&amp;R&amp;"Tahoma,Regular"&amp;8&amp;P/&amp;N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view="pageBreakPreview" zoomScaleNormal="100" zoomScaleSheetLayoutView="100" workbookViewId="0">
      <pane ySplit="8" topLeftCell="A12" activePane="bottomLeft" state="frozen"/>
      <selection pane="bottomLeft" activeCell="E13" sqref="E13"/>
    </sheetView>
  </sheetViews>
  <sheetFormatPr defaultColWidth="9" defaultRowHeight="13.2"/>
  <cols>
    <col min="1" max="1" width="8.44140625" style="1" customWidth="1"/>
    <col min="2" max="2" width="24.33203125" style="1" customWidth="1"/>
    <col min="3" max="3" width="32.33203125" style="1" customWidth="1"/>
    <col min="4" max="4" width="14.33203125" style="1" customWidth="1"/>
    <col min="5" max="5" width="26.21875" style="1" customWidth="1"/>
    <col min="6" max="6" width="16.44140625" style="1" customWidth="1"/>
    <col min="7" max="7" width="8.21875" style="1" customWidth="1"/>
    <col min="8" max="16384" width="9" style="1"/>
  </cols>
  <sheetData>
    <row r="2" spans="1:7" s="7" customFormat="1" ht="27.75" customHeight="1">
      <c r="A2" s="36" t="s">
        <v>11</v>
      </c>
      <c r="B2" s="71" t="str">
        <f>'Test summary report'!C8</f>
        <v>Login Form</v>
      </c>
      <c r="C2" s="71"/>
      <c r="D2" s="71"/>
      <c r="E2" s="71"/>
      <c r="F2" s="71"/>
      <c r="G2" s="71"/>
    </row>
    <row r="3" spans="1:7" s="7" customFormat="1" ht="18" customHeight="1">
      <c r="A3" s="37" t="s">
        <v>6</v>
      </c>
      <c r="B3" s="72" t="str">
        <f>'Test summary report'!C4</f>
        <v>Lê Duy Minh</v>
      </c>
      <c r="C3" s="72"/>
      <c r="D3" s="72"/>
      <c r="E3" s="72"/>
      <c r="F3" s="72"/>
      <c r="G3" s="72"/>
    </row>
    <row r="4" spans="1:7" s="7" customFormat="1" ht="18" customHeight="1">
      <c r="A4" s="40" t="s">
        <v>9</v>
      </c>
      <c r="B4" s="73">
        <v>43006</v>
      </c>
      <c r="C4" s="73"/>
      <c r="D4" s="73"/>
      <c r="E4" s="73"/>
      <c r="F4" s="73"/>
      <c r="G4" s="73"/>
    </row>
    <row r="5" spans="1:7" s="7" customFormat="1" ht="19.5" customHeight="1">
      <c r="A5" s="38"/>
      <c r="B5" s="53" t="s">
        <v>4</v>
      </c>
      <c r="C5" s="54" t="s">
        <v>5</v>
      </c>
      <c r="D5" s="54" t="s">
        <v>7</v>
      </c>
      <c r="E5" s="54" t="s">
        <v>10</v>
      </c>
      <c r="F5" s="50"/>
      <c r="G5" s="51"/>
    </row>
    <row r="6" spans="1:7" s="7" customFormat="1" ht="15" customHeight="1">
      <c r="A6" s="39"/>
      <c r="B6" s="41">
        <f>COUNTIF(G9:G17,"Pass")</f>
        <v>5</v>
      </c>
      <c r="C6" s="41">
        <f>COUNTIF(G9:G17,"Fail")</f>
        <v>0</v>
      </c>
      <c r="D6" s="41">
        <f>COUNTIF(G9:G17,"Untested")</f>
        <v>0</v>
      </c>
      <c r="E6" s="41">
        <f>COUNTA(G9:G17)</f>
        <v>5</v>
      </c>
      <c r="F6" s="52"/>
      <c r="G6" s="51"/>
    </row>
    <row r="7" spans="1:7" s="7" customFormat="1" ht="15" customHeight="1">
      <c r="E7" s="8"/>
      <c r="F7" s="8"/>
      <c r="G7" s="8"/>
    </row>
    <row r="8" spans="1:7" s="7" customFormat="1" ht="36.75" customHeight="1">
      <c r="A8" s="48" t="s">
        <v>23</v>
      </c>
      <c r="B8" s="48" t="s">
        <v>24</v>
      </c>
      <c r="C8" s="48" t="s">
        <v>25</v>
      </c>
      <c r="D8" s="48" t="s">
        <v>27</v>
      </c>
      <c r="E8" s="48" t="s">
        <v>28</v>
      </c>
      <c r="F8" s="48" t="s">
        <v>29</v>
      </c>
      <c r="G8" s="48" t="s">
        <v>30</v>
      </c>
    </row>
    <row r="9" spans="1:7" ht="39.75" customHeight="1">
      <c r="A9" s="9" t="s">
        <v>31</v>
      </c>
      <c r="B9" s="9" t="s">
        <v>17</v>
      </c>
      <c r="C9" s="11" t="s">
        <v>18</v>
      </c>
      <c r="D9" s="11" t="s">
        <v>36</v>
      </c>
      <c r="E9" s="10" t="s">
        <v>41</v>
      </c>
      <c r="F9" s="10" t="s">
        <v>45</v>
      </c>
      <c r="G9" s="14" t="s">
        <v>4</v>
      </c>
    </row>
    <row r="10" spans="1:7" ht="67.2" customHeight="1">
      <c r="A10" s="9" t="s">
        <v>32</v>
      </c>
      <c r="B10" s="9" t="s">
        <v>26</v>
      </c>
      <c r="C10" s="11" t="s">
        <v>19</v>
      </c>
      <c r="D10" s="11" t="s">
        <v>37</v>
      </c>
      <c r="E10" s="10" t="s">
        <v>42</v>
      </c>
      <c r="F10" s="10" t="s">
        <v>45</v>
      </c>
      <c r="G10" s="14" t="s">
        <v>4</v>
      </c>
    </row>
    <row r="11" spans="1:7" ht="52.8">
      <c r="A11" s="9" t="s">
        <v>33</v>
      </c>
      <c r="B11" s="15" t="s">
        <v>22</v>
      </c>
      <c r="C11" s="11" t="s">
        <v>20</v>
      </c>
      <c r="D11" s="11" t="s">
        <v>38</v>
      </c>
      <c r="E11" s="10" t="s">
        <v>43</v>
      </c>
      <c r="F11" s="10" t="s">
        <v>45</v>
      </c>
      <c r="G11" s="18" t="s">
        <v>4</v>
      </c>
    </row>
    <row r="12" spans="1:7" ht="52.8">
      <c r="A12" s="9" t="s">
        <v>34</v>
      </c>
      <c r="B12" s="15" t="s">
        <v>12</v>
      </c>
      <c r="C12" s="11" t="s">
        <v>21</v>
      </c>
      <c r="D12" s="11" t="s">
        <v>39</v>
      </c>
      <c r="E12" s="10" t="s">
        <v>43</v>
      </c>
      <c r="F12" s="17" t="s">
        <v>45</v>
      </c>
      <c r="G12" s="18" t="s">
        <v>4</v>
      </c>
    </row>
    <row r="13" spans="1:7" ht="52.8">
      <c r="A13" s="9" t="s">
        <v>35</v>
      </c>
      <c r="B13" s="15" t="s">
        <v>13</v>
      </c>
      <c r="C13" s="11" t="s">
        <v>21</v>
      </c>
      <c r="D13" s="11" t="s">
        <v>40</v>
      </c>
      <c r="E13" s="17" t="s">
        <v>44</v>
      </c>
      <c r="F13" s="17" t="s">
        <v>45</v>
      </c>
      <c r="G13" s="14" t="s">
        <v>4</v>
      </c>
    </row>
    <row r="14" spans="1:7">
      <c r="A14" s="35"/>
      <c r="B14" s="20"/>
      <c r="C14" s="21"/>
      <c r="D14" s="21"/>
      <c r="E14" s="22"/>
      <c r="F14" s="22"/>
      <c r="G14" s="19"/>
    </row>
    <row r="15" spans="1:7">
      <c r="A15" s="35"/>
      <c r="B15" s="20"/>
      <c r="C15" s="21"/>
      <c r="D15" s="21"/>
      <c r="E15" s="22"/>
      <c r="F15" s="22"/>
      <c r="G15" s="19"/>
    </row>
    <row r="16" spans="1:7">
      <c r="A16" s="35"/>
      <c r="B16" s="20"/>
      <c r="C16" s="21"/>
      <c r="D16" s="21"/>
      <c r="E16" s="22"/>
      <c r="F16" s="22"/>
      <c r="G16" s="23"/>
    </row>
    <row r="17" spans="1:7">
      <c r="A17" s="35" t="str">
        <f t="shared" ref="A17" si="0">IF(OR(B17&lt;&gt;"",E17&lt;&gt;""),"["&amp;TEXT($B$2,"##")&amp;"-"&amp;TEXT(ROW()-10,"##")&amp;"]","")</f>
        <v/>
      </c>
      <c r="B17" s="15"/>
      <c r="C17" s="16"/>
      <c r="D17" s="16"/>
      <c r="E17" s="17"/>
      <c r="F17" s="17"/>
      <c r="G17" s="18"/>
    </row>
  </sheetData>
  <autoFilter ref="A8:G9"/>
  <mergeCells count="3">
    <mergeCell ref="B2:G2"/>
    <mergeCell ref="B3:G3"/>
    <mergeCell ref="B4:G4"/>
  </mergeCells>
  <phoneticPr fontId="0" type="noConversion"/>
  <dataValidations count="3">
    <dataValidation type="list" allowBlank="1" showErrorMessage="1" sqref="G7">
      <formula1>#REF!</formula1>
      <formula2>0</formula2>
    </dataValidation>
    <dataValidation allowBlank="1" showErrorMessage="1" sqref="G8"/>
    <dataValidation type="list" allowBlank="1" showErrorMessage="1" sqref="G9:G17">
      <formula1>$B$5:$E$5</formula1>
    </dataValidation>
  </dataValidations>
  <printOptions horizontalCentered="1"/>
  <pageMargins left="0.74791666666666701" right="0.25" top="0.75" bottom="0.98402777777777795" header="0.5" footer="0.5"/>
  <pageSetup paperSize="9" firstPageNumber="0" orientation="landscape" horizontalDpi="300" verticalDpi="300" r:id="rId1"/>
  <headerFooter scaleWithDoc="0" alignWithMargins="0">
    <oddHeader>&amp;Rv1.0</oddHeader>
    <oddFooter>&amp;R&amp;"Tahoma,thường"&amp;8&amp;P/&amp;N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tabSelected="1" view="pageBreakPreview" zoomScaleNormal="100" zoomScaleSheetLayoutView="100" workbookViewId="0">
      <pane ySplit="8" topLeftCell="A15" activePane="bottomLeft" state="frozen"/>
      <selection pane="bottomLeft" activeCell="B17" sqref="B17"/>
    </sheetView>
  </sheetViews>
  <sheetFormatPr defaultColWidth="9" defaultRowHeight="13.2"/>
  <cols>
    <col min="1" max="1" width="8.44140625" style="1" customWidth="1"/>
    <col min="2" max="2" width="24.33203125" style="1" customWidth="1"/>
    <col min="3" max="3" width="32.33203125" style="1" customWidth="1"/>
    <col min="4" max="4" width="20.109375" style="1" customWidth="1"/>
    <col min="5" max="5" width="23.77734375" style="1" customWidth="1"/>
    <col min="6" max="6" width="26.77734375" style="1" customWidth="1"/>
    <col min="7" max="7" width="21" style="1" customWidth="1"/>
    <col min="8" max="16384" width="9" style="1"/>
  </cols>
  <sheetData>
    <row r="2" spans="1:7" s="7" customFormat="1" ht="27.75" customHeight="1">
      <c r="A2" s="36" t="s">
        <v>11</v>
      </c>
      <c r="B2" s="74" t="str">
        <f>'Test summary report'!B9</f>
        <v>Register Form</v>
      </c>
      <c r="C2" s="71"/>
      <c r="D2" s="71"/>
      <c r="E2" s="71"/>
      <c r="F2" s="71"/>
      <c r="G2" s="71"/>
    </row>
    <row r="3" spans="1:7" s="7" customFormat="1" ht="18" customHeight="1">
      <c r="A3" s="37" t="s">
        <v>6</v>
      </c>
      <c r="B3" s="72" t="s">
        <v>46</v>
      </c>
      <c r="C3" s="72"/>
      <c r="D3" s="72"/>
      <c r="E3" s="72"/>
      <c r="F3" s="72"/>
      <c r="G3" s="72"/>
    </row>
    <row r="4" spans="1:7" s="7" customFormat="1" ht="18" customHeight="1">
      <c r="A4" s="40" t="s">
        <v>9</v>
      </c>
      <c r="B4" s="73">
        <v>43402</v>
      </c>
      <c r="C4" s="73"/>
      <c r="D4" s="73"/>
      <c r="E4" s="73"/>
      <c r="F4" s="73"/>
      <c r="G4" s="73"/>
    </row>
    <row r="5" spans="1:7" s="7" customFormat="1" ht="19.5" customHeight="1">
      <c r="A5" s="38"/>
      <c r="B5" s="53" t="s">
        <v>4</v>
      </c>
      <c r="C5" s="54" t="s">
        <v>5</v>
      </c>
      <c r="D5" s="54" t="s">
        <v>7</v>
      </c>
      <c r="E5" s="54" t="s">
        <v>10</v>
      </c>
      <c r="F5" s="50"/>
      <c r="G5" s="51"/>
    </row>
    <row r="6" spans="1:7" s="7" customFormat="1" ht="15" customHeight="1">
      <c r="A6" s="39"/>
      <c r="B6" s="41">
        <f>COUNTIF(G9:G17,"Pass")</f>
        <v>4</v>
      </c>
      <c r="C6" s="41">
        <f>COUNTIF(G9:G17,"Fail")</f>
        <v>5</v>
      </c>
      <c r="D6" s="41">
        <f>COUNTIF(G9:G17,"Untested")</f>
        <v>0</v>
      </c>
      <c r="E6" s="41">
        <f>COUNTA(G9:G17)</f>
        <v>9</v>
      </c>
      <c r="F6" s="52"/>
      <c r="G6" s="51"/>
    </row>
    <row r="7" spans="1:7" s="7" customFormat="1" ht="15" customHeight="1">
      <c r="E7" s="8"/>
      <c r="F7" s="8"/>
      <c r="G7" s="8"/>
    </row>
    <row r="8" spans="1:7" s="7" customFormat="1" ht="36.75" customHeight="1">
      <c r="A8" s="48" t="s">
        <v>23</v>
      </c>
      <c r="B8" s="48" t="s">
        <v>24</v>
      </c>
      <c r="C8" s="48" t="s">
        <v>25</v>
      </c>
      <c r="D8" s="48" t="s">
        <v>27</v>
      </c>
      <c r="E8" s="48" t="s">
        <v>28</v>
      </c>
      <c r="F8" s="48" t="s">
        <v>29</v>
      </c>
      <c r="G8" s="48" t="s">
        <v>30</v>
      </c>
    </row>
    <row r="9" spans="1:7" ht="39.75" customHeight="1">
      <c r="A9" s="9" t="s">
        <v>31</v>
      </c>
      <c r="B9" s="9" t="s">
        <v>48</v>
      </c>
      <c r="C9" s="11" t="s">
        <v>49</v>
      </c>
      <c r="D9" s="11" t="s">
        <v>58</v>
      </c>
      <c r="E9" s="10" t="s">
        <v>57</v>
      </c>
      <c r="F9" s="10" t="s">
        <v>78</v>
      </c>
      <c r="G9" s="14" t="s">
        <v>5</v>
      </c>
    </row>
    <row r="10" spans="1:7" ht="45" customHeight="1">
      <c r="A10" s="9" t="s">
        <v>32</v>
      </c>
      <c r="B10" s="9" t="s">
        <v>47</v>
      </c>
      <c r="C10" s="11" t="s">
        <v>50</v>
      </c>
      <c r="D10" s="11" t="s">
        <v>59</v>
      </c>
      <c r="E10" s="10" t="s">
        <v>63</v>
      </c>
      <c r="F10" s="10" t="s">
        <v>78</v>
      </c>
      <c r="G10" s="14" t="s">
        <v>5</v>
      </c>
    </row>
    <row r="11" spans="1:7" ht="48.6" customHeight="1">
      <c r="A11" s="9" t="s">
        <v>33</v>
      </c>
      <c r="B11" s="15" t="s">
        <v>51</v>
      </c>
      <c r="C11" s="11" t="s">
        <v>52</v>
      </c>
      <c r="D11" s="11" t="s">
        <v>60</v>
      </c>
      <c r="E11" s="10" t="s">
        <v>79</v>
      </c>
      <c r="F11" s="10" t="s">
        <v>78</v>
      </c>
      <c r="G11" s="18" t="s">
        <v>5</v>
      </c>
    </row>
    <row r="12" spans="1:7" ht="55.2" customHeight="1">
      <c r="A12" s="9" t="s">
        <v>34</v>
      </c>
      <c r="B12" s="15" t="s">
        <v>53</v>
      </c>
      <c r="C12" s="11" t="s">
        <v>54</v>
      </c>
      <c r="D12" s="11" t="s">
        <v>61</v>
      </c>
      <c r="E12" s="10" t="s">
        <v>64</v>
      </c>
      <c r="F12" s="17" t="s">
        <v>78</v>
      </c>
      <c r="G12" s="18" t="s">
        <v>5</v>
      </c>
    </row>
    <row r="13" spans="1:7" ht="78.599999999999994" customHeight="1">
      <c r="A13" s="9" t="s">
        <v>35</v>
      </c>
      <c r="B13" s="15" t="s">
        <v>55</v>
      </c>
      <c r="C13" s="11" t="s">
        <v>56</v>
      </c>
      <c r="D13" s="11" t="s">
        <v>62</v>
      </c>
      <c r="E13" s="17" t="s">
        <v>80</v>
      </c>
      <c r="F13" s="17" t="s">
        <v>45</v>
      </c>
      <c r="G13" s="14" t="s">
        <v>4</v>
      </c>
    </row>
    <row r="14" spans="1:7" ht="73.8" customHeight="1">
      <c r="A14" s="35" t="s">
        <v>65</v>
      </c>
      <c r="B14" s="20" t="s">
        <v>66</v>
      </c>
      <c r="C14" s="21" t="s">
        <v>67</v>
      </c>
      <c r="D14" s="21" t="s">
        <v>68</v>
      </c>
      <c r="E14" s="22" t="s">
        <v>81</v>
      </c>
      <c r="F14" s="22" t="s">
        <v>82</v>
      </c>
      <c r="G14" s="23" t="s">
        <v>5</v>
      </c>
    </row>
    <row r="15" spans="1:7" ht="58.2" customHeight="1">
      <c r="A15" s="35" t="s">
        <v>69</v>
      </c>
      <c r="B15" s="20" t="s">
        <v>70</v>
      </c>
      <c r="C15" s="21" t="s">
        <v>71</v>
      </c>
      <c r="D15" s="21" t="s">
        <v>68</v>
      </c>
      <c r="E15" s="22" t="s">
        <v>83</v>
      </c>
      <c r="F15" s="22" t="s">
        <v>45</v>
      </c>
      <c r="G15" s="75" t="s">
        <v>4</v>
      </c>
    </row>
    <row r="16" spans="1:7" ht="63" customHeight="1">
      <c r="A16" s="35" t="s">
        <v>72</v>
      </c>
      <c r="B16" s="20" t="s">
        <v>73</v>
      </c>
      <c r="C16" s="21" t="s">
        <v>71</v>
      </c>
      <c r="D16" s="21" t="s">
        <v>77</v>
      </c>
      <c r="E16" s="22" t="s">
        <v>84</v>
      </c>
      <c r="F16" s="22" t="s">
        <v>45</v>
      </c>
      <c r="G16" s="23" t="s">
        <v>4</v>
      </c>
    </row>
    <row r="17" spans="1:7" ht="73.2" customHeight="1">
      <c r="A17" s="35" t="s">
        <v>74</v>
      </c>
      <c r="B17" s="15" t="s">
        <v>75</v>
      </c>
      <c r="C17" s="16" t="s">
        <v>71</v>
      </c>
      <c r="D17" s="16" t="s">
        <v>76</v>
      </c>
      <c r="E17" s="17" t="s">
        <v>82</v>
      </c>
      <c r="F17" s="17" t="s">
        <v>45</v>
      </c>
      <c r="G17" s="18" t="s">
        <v>4</v>
      </c>
    </row>
  </sheetData>
  <autoFilter ref="A8:G9"/>
  <mergeCells count="3">
    <mergeCell ref="B2:G2"/>
    <mergeCell ref="B3:G3"/>
    <mergeCell ref="B4:G4"/>
  </mergeCells>
  <dataValidations count="3">
    <dataValidation type="list" allowBlank="1" showErrorMessage="1" sqref="G9:G17">
      <formula1>$B$5:$E$5</formula1>
    </dataValidation>
    <dataValidation allowBlank="1" showErrorMessage="1" sqref="G8"/>
    <dataValidation type="list" allowBlank="1" showErrorMessage="1" sqref="G7">
      <formula1>#REF!</formula1>
      <formula2>0</formula2>
    </dataValidation>
  </dataValidations>
  <printOptions horizontalCentered="1"/>
  <pageMargins left="0.74791666666666701" right="0.25" top="0.75" bottom="0.98402777777777795" header="0.5" footer="0.5"/>
  <pageSetup paperSize="9" firstPageNumber="0" orientation="landscape" horizontalDpi="300" verticalDpi="300" r:id="rId1"/>
  <headerFooter scaleWithDoc="0" alignWithMargins="0">
    <oddHeader>&amp;Rv1.0</oddHeader>
    <oddFooter>&amp;R&amp;"Tahoma,thường"&amp;8&amp;P/&amp;N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iority xmlns="41A7A25E-88C5-415C-AB9A-358CCBEA8A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2A741C5885C41AB9A358CCBEA8A85" ma:contentTypeVersion="0" ma:contentTypeDescription="Create a new document." ma:contentTypeScope="" ma:versionID="253d622f20ce6cf415dd75a347d4701d">
  <xsd:schema xmlns:xsd="http://www.w3.org/2001/XMLSchema" xmlns:p="http://schemas.microsoft.com/office/2006/metadata/properties" xmlns:ns2="41A7A25E-88C5-415C-AB9A-358CCBEA8A85" targetNamespace="http://schemas.microsoft.com/office/2006/metadata/properties" ma:root="true" ma:fieldsID="a6913b3c7c53e7d5478d1a53b351a6d1" ns2:_="">
    <xsd:import namespace="41A7A25E-88C5-415C-AB9A-358CCBEA8A85"/>
    <xsd:element name="properties">
      <xsd:complexType>
        <xsd:sequence>
          <xsd:element name="documentManagement">
            <xsd:complexType>
              <xsd:all>
                <xsd:element ref="ns2:Priority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41A7A25E-88C5-415C-AB9A-358CCBEA8A85" elementFormDefault="qualified">
    <xsd:import namespace="http://schemas.microsoft.com/office/2006/documentManagement/types"/>
    <xsd:element name="Priority" ma:index="8" nillable="true" ma:displayName="Priority" ma:internalName="Priority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8D47BC-3AED-486D-BEB5-59BB4D295949}">
  <ds:schemaRefs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41A7A25E-88C5-415C-AB9A-358CCBEA8A85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359F26E-6EED-4644-BC25-7435A5DD99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A7A25E-88C5-415C-AB9A-358CCBEA8A85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13C97ED5-F458-4E88-B2F8-08E328B4E3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Test summary report</vt:lpstr>
      <vt:lpstr>Login Form</vt:lpstr>
      <vt:lpstr>Register Form</vt:lpstr>
      <vt:lpstr>'Login Form'!Print_Area</vt:lpstr>
      <vt:lpstr>'Register Form'!Print_Area</vt:lpstr>
      <vt:lpstr>'Test summary report'!Print_Area</vt:lpstr>
    </vt:vector>
  </TitlesOfParts>
  <Company>Anime Studio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>Tuong Kaito</dc:creator>
  <cp:lastModifiedBy>Duy Minh</cp:lastModifiedBy>
  <cp:lastPrinted>2016-09-28T14:19:29Z</cp:lastPrinted>
  <dcterms:created xsi:type="dcterms:W3CDTF">2008-11-27T06:37:38Z</dcterms:created>
  <dcterms:modified xsi:type="dcterms:W3CDTF">2018-10-29T09:31:34Z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ffe3ebff-20b8-474c-8c51-5062c5b2967f</vt:lpwstr>
  </property>
</Properties>
</file>